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11989\Desktop\TEMP\fund_tool\"/>
    </mc:Choice>
  </mc:AlternateContent>
  <xr:revisionPtr revIDLastSave="0" documentId="13_ncr:1_{E354A2C9-2895-45F0-B2A9-8D8641568BD7}" xr6:coauthVersionLast="47" xr6:coauthVersionMax="47" xr10:uidLastSave="{00000000-0000-0000-0000-000000000000}"/>
  <bookViews>
    <workbookView xWindow="345" yWindow="2100" windowWidth="23040" windowHeight="12165" activeTab="1" xr2:uid="{00000000-000D-0000-FFFF-FFFF00000000}"/>
  </bookViews>
  <sheets>
    <sheet name="chaochao" sheetId="1" r:id="rId1"/>
    <sheet name="yaoyao" sheetId="2" r:id="rId2"/>
  </sheets>
  <calcPr calcId="191029"/>
</workbook>
</file>

<file path=xl/calcChain.xml><?xml version="1.0" encoding="utf-8"?>
<calcChain xmlns="http://schemas.openxmlformats.org/spreadsheetml/2006/main">
  <c r="E17" i="2" l="1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 l="1"/>
</calcChain>
</file>

<file path=xl/sharedStrings.xml><?xml version="1.0" encoding="utf-8"?>
<sst xmlns="http://schemas.openxmlformats.org/spreadsheetml/2006/main" count="76" uniqueCount="69">
  <si>
    <t>fund_code</t>
  </si>
  <si>
    <t>fund_name</t>
  </si>
  <si>
    <t>shares</t>
  </si>
  <si>
    <t>cost_price</t>
  </si>
  <si>
    <t>cost_amount</t>
  </si>
  <si>
    <t>023482</t>
  </si>
  <si>
    <t>016573</t>
  </si>
  <si>
    <t>015740</t>
  </si>
  <si>
    <t>010364</t>
  </si>
  <si>
    <t>013309</t>
  </si>
  <si>
    <t>018388</t>
  </si>
  <si>
    <t>006113</t>
  </si>
  <si>
    <t>001665</t>
  </si>
  <si>
    <t>022435</t>
  </si>
  <si>
    <t>019919</t>
  </si>
  <si>
    <t>020902</t>
  </si>
  <si>
    <t>021378</t>
  </si>
  <si>
    <t>015401</t>
  </si>
  <si>
    <t>021172</t>
  </si>
  <si>
    <t>015945</t>
  </si>
  <si>
    <t>018647</t>
  </si>
  <si>
    <t>015897</t>
  </si>
  <si>
    <t>012349</t>
  </si>
  <si>
    <t>013416</t>
  </si>
  <si>
    <t>002834</t>
  </si>
  <si>
    <t>003547</t>
  </si>
  <si>
    <t>鹏华丰禄债券</t>
  </si>
  <si>
    <t>万家中证港股通创新药ETF发起式联接C</t>
  </si>
  <si>
    <t>招商中证银行AH价格优选ETF发起式联接C</t>
  </si>
  <si>
    <t>国泰中证港股通科技ETF发起联接C</t>
  </si>
  <si>
    <t>鹏华空天军工指数(LOF)C</t>
  </si>
  <si>
    <t>易方达恒生科技ETF联接(QDII)C</t>
  </si>
  <si>
    <t>华泰柏瑞港股通红利ETF联接基金C</t>
  </si>
  <si>
    <t>汇添富创新医药混合A</t>
  </si>
  <si>
    <t>平安鑫安混合C</t>
  </si>
  <si>
    <t>南方中证A500ETF联接C</t>
  </si>
  <si>
    <t>招商中证2000指数增强C</t>
  </si>
  <si>
    <t>招商成长量化选股股票C</t>
  </si>
  <si>
    <t>兴业中证港股通互联网指数发起式C</t>
  </si>
  <si>
    <t>弘毅远方甄选混合C</t>
  </si>
  <si>
    <t>270042</t>
  </si>
  <si>
    <t>华安北证50成份指数发起式A</t>
  </si>
  <si>
    <t>易方达国防军工混合C</t>
  </si>
  <si>
    <t>易方达中证家电龙头ETF联接发起式C</t>
  </si>
  <si>
    <t>天弘中证细分化工指数发起C</t>
  </si>
  <si>
    <t>天弘恒生科技指数(QDII)C</t>
  </si>
  <si>
    <t>永赢中证全指医疗器械ETF发起联接C</t>
  </si>
  <si>
    <t>华夏新锦绣混合C</t>
  </si>
  <si>
    <t>021457</t>
  </si>
  <si>
    <t>易方达恒生红利低波ETF联接A</t>
  </si>
  <si>
    <t>012725</t>
  </si>
  <si>
    <t>国泰中证畜牧养殖ETF联接C</t>
  </si>
  <si>
    <t>004253</t>
  </si>
  <si>
    <t>国泰黄金ETF联接C</t>
  </si>
  <si>
    <t>016814</t>
  </si>
  <si>
    <t>国联中证煤炭指数C</t>
  </si>
  <si>
    <t>015016</t>
  </si>
  <si>
    <t>华安国际龙头(dax)</t>
  </si>
  <si>
    <t>007280</t>
  </si>
  <si>
    <t>摩根日本精选股票</t>
  </si>
  <si>
    <t>012060</t>
  </si>
  <si>
    <t>富国全球消费</t>
  </si>
  <si>
    <t>000834</t>
  </si>
  <si>
    <t>大成纳斯达克</t>
  </si>
  <si>
    <t>012341</t>
  </si>
  <si>
    <t>东财食品饮料指数增强C</t>
  </si>
  <si>
    <t>020671</t>
  </si>
  <si>
    <t>易方达上证科创板芯片指数发起式C</t>
  </si>
  <si>
    <t>广发纳斯达克100ETF联接人民币(QDII)A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</si>
</sst>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49" fontId="3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workbookViewId="0">
      <selection activeCell="H11" sqref="H11"/>
    </sheetView>
  </sheetViews>
  <sheetFormatPr defaultRowHeight="13.5" x14ac:dyDescent="0.15"/>
  <sheetData>
    <row r="1" spans="1: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15">
      <c r="A2" t="s">
        <v>5</v>
      </c>
      <c r="B2" t="s">
        <v>27</v>
      </c>
      <c r="C2" s="2">
        <v>696.35000000000025</v>
      </c>
      <c r="D2" s="2">
        <v>1.2447999999999999</v>
      </c>
      <c r="E2">
        <f>ROUND(C2*D2,2)</f>
        <v>866.82</v>
      </c>
    </row>
    <row r="3" spans="1:5" x14ac:dyDescent="0.15">
      <c r="A3" t="s">
        <v>6</v>
      </c>
      <c r="B3" t="s">
        <v>28</v>
      </c>
      <c r="C3" s="2">
        <v>1060.48</v>
      </c>
      <c r="D3" s="2">
        <v>1.52</v>
      </c>
      <c r="E3">
        <f t="shared" ref="E3:E18" si="0">ROUND(C3*D3,2)</f>
        <v>1611.93</v>
      </c>
    </row>
    <row r="4" spans="1:5" x14ac:dyDescent="0.15">
      <c r="A4" t="s">
        <v>7</v>
      </c>
      <c r="B4" t="s">
        <v>29</v>
      </c>
      <c r="C4" s="2">
        <v>1771.4699999999998</v>
      </c>
      <c r="D4" s="2">
        <v>1.2984</v>
      </c>
      <c r="E4">
        <f t="shared" si="0"/>
        <v>2300.08</v>
      </c>
    </row>
    <row r="5" spans="1:5" x14ac:dyDescent="0.15">
      <c r="A5" t="s">
        <v>8</v>
      </c>
      <c r="B5" t="s">
        <v>30</v>
      </c>
      <c r="C5" s="2">
        <v>1201.94</v>
      </c>
      <c r="D5" s="2">
        <v>0.99839999999999995</v>
      </c>
      <c r="E5">
        <f t="shared" si="0"/>
        <v>1200.02</v>
      </c>
    </row>
    <row r="6" spans="1:5" x14ac:dyDescent="0.15">
      <c r="A6" t="s">
        <v>9</v>
      </c>
      <c r="B6" t="s">
        <v>31</v>
      </c>
      <c r="C6" s="2">
        <v>1031.18</v>
      </c>
      <c r="D6" s="2">
        <v>1.3576999999999999</v>
      </c>
      <c r="E6">
        <f t="shared" si="0"/>
        <v>1400.03</v>
      </c>
    </row>
    <row r="7" spans="1:5" x14ac:dyDescent="0.15">
      <c r="A7" t="s">
        <v>10</v>
      </c>
      <c r="B7" t="s">
        <v>32</v>
      </c>
      <c r="C7" s="2">
        <v>72.64</v>
      </c>
      <c r="D7" s="2">
        <v>1.3767</v>
      </c>
      <c r="E7">
        <f t="shared" si="0"/>
        <v>100</v>
      </c>
    </row>
    <row r="8" spans="1:5" x14ac:dyDescent="0.15">
      <c r="A8" t="s">
        <v>11</v>
      </c>
      <c r="B8" t="s">
        <v>33</v>
      </c>
      <c r="C8" s="2">
        <v>548</v>
      </c>
      <c r="D8" s="2">
        <v>2.0072999999999999</v>
      </c>
      <c r="E8">
        <f t="shared" si="0"/>
        <v>1100</v>
      </c>
    </row>
    <row r="9" spans="1:5" x14ac:dyDescent="0.15">
      <c r="A9" t="s">
        <v>12</v>
      </c>
      <c r="B9" t="s">
        <v>34</v>
      </c>
      <c r="C9" s="2">
        <v>793.89</v>
      </c>
      <c r="D9" s="2">
        <v>1.4000999999999999</v>
      </c>
      <c r="E9">
        <f t="shared" si="0"/>
        <v>1111.53</v>
      </c>
    </row>
    <row r="10" spans="1:5" x14ac:dyDescent="0.15">
      <c r="A10" t="s">
        <v>13</v>
      </c>
      <c r="B10" t="s">
        <v>35</v>
      </c>
      <c r="C10" s="2">
        <v>942.47</v>
      </c>
      <c r="D10" s="2">
        <v>1.0610999999999999</v>
      </c>
      <c r="E10">
        <f t="shared" si="0"/>
        <v>1000.05</v>
      </c>
    </row>
    <row r="11" spans="1:5" x14ac:dyDescent="0.15">
      <c r="A11" t="s">
        <v>14</v>
      </c>
      <c r="B11" t="s">
        <v>36</v>
      </c>
      <c r="C11" s="2">
        <v>685.08</v>
      </c>
      <c r="D11" s="2">
        <v>1.6056999999999999</v>
      </c>
      <c r="E11">
        <f t="shared" si="0"/>
        <v>1100.03</v>
      </c>
    </row>
    <row r="12" spans="1:5" x14ac:dyDescent="0.15">
      <c r="A12" t="s">
        <v>15</v>
      </c>
      <c r="B12" t="s">
        <v>37</v>
      </c>
      <c r="C12" s="2">
        <v>762.97</v>
      </c>
      <c r="D12" s="2">
        <v>1.4232</v>
      </c>
      <c r="E12">
        <f t="shared" si="0"/>
        <v>1085.8599999999999</v>
      </c>
    </row>
    <row r="13" spans="1:5" x14ac:dyDescent="0.15">
      <c r="A13" t="s">
        <v>16</v>
      </c>
      <c r="B13" t="s">
        <v>38</v>
      </c>
      <c r="C13">
        <v>370.73999999999995</v>
      </c>
      <c r="D13" s="2">
        <v>1.6184000000000001</v>
      </c>
      <c r="E13">
        <f t="shared" si="0"/>
        <v>600.01</v>
      </c>
    </row>
    <row r="14" spans="1:5" x14ac:dyDescent="0.15">
      <c r="A14" t="s">
        <v>17</v>
      </c>
      <c r="B14" t="s">
        <v>39</v>
      </c>
      <c r="C14" s="2">
        <v>959.63000000000011</v>
      </c>
      <c r="D14" s="2">
        <v>0.96009999999999995</v>
      </c>
      <c r="E14">
        <f t="shared" si="0"/>
        <v>921.34</v>
      </c>
    </row>
    <row r="15" spans="1:5" x14ac:dyDescent="0.15">
      <c r="A15" s="4" t="s">
        <v>54</v>
      </c>
      <c r="B15" s="5" t="s">
        <v>55</v>
      </c>
      <c r="C15" s="2">
        <v>113.78999999999999</v>
      </c>
      <c r="D15" s="2">
        <v>1.7577</v>
      </c>
      <c r="E15">
        <f t="shared" si="0"/>
        <v>200.01</v>
      </c>
    </row>
    <row r="16" spans="1:5" x14ac:dyDescent="0.15">
      <c r="A16" t="s">
        <v>64</v>
      </c>
      <c r="B16" t="s">
        <v>65</v>
      </c>
      <c r="C16" s="2">
        <v>929.18000000000006</v>
      </c>
      <c r="D16" s="2">
        <v>0.64570000000000005</v>
      </c>
      <c r="E16">
        <f t="shared" si="0"/>
        <v>599.97</v>
      </c>
    </row>
    <row r="17" spans="1:5" x14ac:dyDescent="0.15">
      <c r="A17" t="s">
        <v>66</v>
      </c>
      <c r="B17" t="s">
        <v>67</v>
      </c>
      <c r="C17" s="2">
        <v>238.24</v>
      </c>
      <c r="D17" s="2">
        <v>2.0987</v>
      </c>
      <c r="E17">
        <f t="shared" si="0"/>
        <v>499.99</v>
      </c>
    </row>
    <row r="18" spans="1:5" x14ac:dyDescent="0.15">
      <c r="A18" t="s">
        <v>40</v>
      </c>
      <c r="B18" t="s">
        <v>68</v>
      </c>
      <c r="C18" s="6">
        <v>14.52</v>
      </c>
      <c r="D18" s="6">
        <v>6.8871000000000002</v>
      </c>
      <c r="E18">
        <f t="shared" si="0"/>
        <v>100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tabSelected="1" workbookViewId="0">
      <selection activeCell="M7" sqref="M7"/>
    </sheetView>
  </sheetViews>
  <sheetFormatPr defaultRowHeight="13.5" x14ac:dyDescent="0.15"/>
  <sheetData>
    <row r="1" spans="1: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15">
      <c r="A2" t="s">
        <v>18</v>
      </c>
      <c r="B2" t="s">
        <v>41</v>
      </c>
      <c r="C2" s="3">
        <v>436.4</v>
      </c>
      <c r="D2" s="3">
        <v>1.9036</v>
      </c>
      <c r="E2">
        <f>ROUND(C2*D2,2)</f>
        <v>830.73</v>
      </c>
    </row>
    <row r="3" spans="1:5" x14ac:dyDescent="0.15">
      <c r="A3" t="s">
        <v>19</v>
      </c>
      <c r="B3" t="s">
        <v>42</v>
      </c>
      <c r="C3" s="3">
        <v>611.35</v>
      </c>
      <c r="D3" s="3">
        <v>1.4722</v>
      </c>
      <c r="E3">
        <f t="shared" ref="E3:E17" si="0">ROUND(C3*D3,2)</f>
        <v>900.03</v>
      </c>
    </row>
    <row r="4" spans="1:5" x14ac:dyDescent="0.15">
      <c r="A4" t="s">
        <v>20</v>
      </c>
      <c r="B4" t="s">
        <v>43</v>
      </c>
      <c r="C4" s="3">
        <v>408.06</v>
      </c>
      <c r="D4" s="3">
        <v>1.2253000000000001</v>
      </c>
      <c r="E4">
        <f t="shared" si="0"/>
        <v>500</v>
      </c>
    </row>
    <row r="5" spans="1:5" x14ac:dyDescent="0.15">
      <c r="A5" t="s">
        <v>21</v>
      </c>
      <c r="B5" t="s">
        <v>44</v>
      </c>
      <c r="C5" s="3">
        <v>1191.74</v>
      </c>
      <c r="D5" s="3">
        <v>0.67130000000000001</v>
      </c>
      <c r="E5">
        <f t="shared" si="0"/>
        <v>800.02</v>
      </c>
    </row>
    <row r="6" spans="1:5" x14ac:dyDescent="0.15">
      <c r="A6" t="s">
        <v>22</v>
      </c>
      <c r="B6" t="s">
        <v>45</v>
      </c>
      <c r="C6" s="3">
        <v>515.91999999999996</v>
      </c>
      <c r="D6" s="3">
        <v>0.77529999999999999</v>
      </c>
      <c r="E6">
        <f t="shared" si="0"/>
        <v>399.99</v>
      </c>
    </row>
    <row r="7" spans="1:5" x14ac:dyDescent="0.15">
      <c r="A7" t="s">
        <v>23</v>
      </c>
      <c r="B7" t="s">
        <v>46</v>
      </c>
      <c r="C7" s="3">
        <v>149.88</v>
      </c>
      <c r="D7" s="3">
        <v>0.66720000000000002</v>
      </c>
      <c r="E7">
        <f t="shared" si="0"/>
        <v>100</v>
      </c>
    </row>
    <row r="8" spans="1:5" x14ac:dyDescent="0.15">
      <c r="A8" t="s">
        <v>24</v>
      </c>
      <c r="B8" t="s">
        <v>47</v>
      </c>
      <c r="C8" s="3">
        <v>187.34</v>
      </c>
      <c r="D8" s="3">
        <v>2.6688999999999998</v>
      </c>
      <c r="E8">
        <f t="shared" si="0"/>
        <v>499.99</v>
      </c>
    </row>
    <row r="9" spans="1:5" x14ac:dyDescent="0.15">
      <c r="A9" t="s">
        <v>25</v>
      </c>
      <c r="B9" t="s">
        <v>26</v>
      </c>
      <c r="C9" s="3">
        <v>284.76</v>
      </c>
      <c r="D9" s="3">
        <v>1.0535000000000001</v>
      </c>
      <c r="E9">
        <f t="shared" si="0"/>
        <v>299.99</v>
      </c>
    </row>
    <row r="10" spans="1:5" x14ac:dyDescent="0.15">
      <c r="A10" t="s">
        <v>48</v>
      </c>
      <c r="B10" t="s">
        <v>49</v>
      </c>
      <c r="C10" s="3">
        <v>1240.73</v>
      </c>
      <c r="D10" s="3">
        <v>1.2896000000000001</v>
      </c>
      <c r="E10">
        <f t="shared" si="0"/>
        <v>1600.05</v>
      </c>
    </row>
    <row r="11" spans="1:5" x14ac:dyDescent="0.15">
      <c r="A11" t="s">
        <v>50</v>
      </c>
      <c r="B11" t="s">
        <v>51</v>
      </c>
      <c r="C11" s="3">
        <v>128.11000000000001</v>
      </c>
      <c r="D11" s="3">
        <v>0.78059999999999996</v>
      </c>
      <c r="E11">
        <f t="shared" si="0"/>
        <v>100</v>
      </c>
    </row>
    <row r="12" spans="1:5" x14ac:dyDescent="0.15">
      <c r="A12" t="s">
        <v>52</v>
      </c>
      <c r="B12" t="s">
        <v>53</v>
      </c>
      <c r="C12" s="3">
        <v>36.53</v>
      </c>
      <c r="D12" s="3">
        <v>2.7374000000000001</v>
      </c>
      <c r="E12">
        <f t="shared" si="0"/>
        <v>100</v>
      </c>
    </row>
    <row r="13" spans="1:5" x14ac:dyDescent="0.15">
      <c r="A13" t="s">
        <v>54</v>
      </c>
      <c r="B13" t="s">
        <v>55</v>
      </c>
      <c r="C13" s="3">
        <v>228.26000000000002</v>
      </c>
      <c r="D13" s="3">
        <v>1.7524999999999999</v>
      </c>
      <c r="E13">
        <f t="shared" si="0"/>
        <v>400.03</v>
      </c>
    </row>
    <row r="14" spans="1:5" x14ac:dyDescent="0.15">
      <c r="A14" t="s">
        <v>56</v>
      </c>
      <c r="B14" t="s">
        <v>57</v>
      </c>
      <c r="C14" s="3">
        <v>346.84</v>
      </c>
      <c r="D14" s="3">
        <v>2.0182000000000002</v>
      </c>
      <c r="E14">
        <f t="shared" si="0"/>
        <v>699.99</v>
      </c>
    </row>
    <row r="15" spans="1:5" x14ac:dyDescent="0.15">
      <c r="A15" t="s">
        <v>58</v>
      </c>
      <c r="B15" t="s">
        <v>59</v>
      </c>
      <c r="C15" s="3">
        <v>657.99</v>
      </c>
      <c r="D15" s="3">
        <v>1.8237000000000001</v>
      </c>
      <c r="E15">
        <f t="shared" si="0"/>
        <v>1199.98</v>
      </c>
    </row>
    <row r="16" spans="1:5" x14ac:dyDescent="0.15">
      <c r="A16" t="s">
        <v>60</v>
      </c>
      <c r="B16" t="s">
        <v>61</v>
      </c>
      <c r="C16" s="3">
        <v>561.84</v>
      </c>
      <c r="D16" s="3">
        <v>1.6019000000000001</v>
      </c>
      <c r="E16">
        <f t="shared" si="0"/>
        <v>900.01</v>
      </c>
    </row>
    <row r="17" spans="1:5" x14ac:dyDescent="0.15">
      <c r="A17" t="s">
        <v>62</v>
      </c>
      <c r="B17" t="s">
        <v>63</v>
      </c>
      <c r="C17" s="3">
        <v>216.33</v>
      </c>
      <c r="D17" s="3">
        <v>5.0848000000000004</v>
      </c>
      <c r="E17">
        <f t="shared" si="0"/>
        <v>1099.99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chaochao</vt:lpstr>
      <vt:lpstr>yaoyao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鹏钞 王</cp:lastModifiedBy>
  <dcterms:created xsi:type="dcterms:W3CDTF">2025-08-25T02:24:25Z</dcterms:created>
  <dcterms:modified xsi:type="dcterms:W3CDTF">2025-08-29T02:11:54Z</dcterms:modified>
</cp:coreProperties>
</file>